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расчеты на год" sheetId="1" r:id="rId1"/>
    <sheet name="Лист2" sheetId="2" r:id="rId2"/>
  </sheets>
  <calcPr calcId="152511"/>
</workbook>
</file>

<file path=xl/calcChain.xml><?xml version="1.0" encoding="utf-8"?>
<calcChain xmlns="http://schemas.openxmlformats.org/spreadsheetml/2006/main">
  <c r="E5" i="2" l="1"/>
  <c r="E4" i="2"/>
  <c r="D4" i="2"/>
  <c r="C4" i="2"/>
  <c r="B4" i="2"/>
  <c r="C5" i="2"/>
  <c r="D5" i="2"/>
  <c r="B5" i="2"/>
  <c r="E3" i="2"/>
  <c r="D3" i="2"/>
  <c r="C3" i="2"/>
  <c r="B3" i="2"/>
  <c r="E10" i="1" l="1"/>
  <c r="E9" i="1"/>
  <c r="E3" i="1"/>
  <c r="E17" i="1"/>
  <c r="E18" i="1"/>
  <c r="E19" i="1"/>
  <c r="E20" i="1"/>
  <c r="E16" i="1"/>
  <c r="E14" i="1"/>
  <c r="E6" i="1"/>
  <c r="E7" i="1"/>
  <c r="E8" i="1"/>
  <c r="E5" i="1"/>
  <c r="E21" i="1" l="1"/>
</calcChain>
</file>

<file path=xl/sharedStrings.xml><?xml version="1.0" encoding="utf-8"?>
<sst xmlns="http://schemas.openxmlformats.org/spreadsheetml/2006/main" count="37" uniqueCount="29">
  <si>
    <t>AS-IS</t>
  </si>
  <si>
    <t>Windows Server и MS SQL Server</t>
  </si>
  <si>
    <t>ФОТ поддержки (OpEx)</t>
  </si>
  <si>
    <t>Стоимость владения в год на единицу</t>
  </si>
  <si>
    <t>Ед / чел</t>
  </si>
  <si>
    <t>Кол-во на 100 магазинов</t>
  </si>
  <si>
    <t>Статья расходов</t>
  </si>
  <si>
    <t>Сумма</t>
  </si>
  <si>
    <t>TO-BE</t>
  </si>
  <si>
    <t>Оборудование (CapEx) (серверы - ремонт)</t>
  </si>
  <si>
    <t>Оборудование (CapEx) (планшеты - покупка)</t>
  </si>
  <si>
    <t>Итого в год</t>
  </si>
  <si>
    <t>Лицензии/Подписки (OpEx)</t>
  </si>
  <si>
    <t>Аренда PaaS в облаке</t>
  </si>
  <si>
    <t>Каналы связи (OpEx) (провод + LTE)</t>
  </si>
  <si>
    <t>Каналы связи (OpEx) (провод)</t>
  </si>
  <si>
    <t>Разовые расходы</t>
  </si>
  <si>
    <t>Оборудование (CapEx) серверы - покупка)</t>
  </si>
  <si>
    <t>Электричество (24/7/365)</t>
  </si>
  <si>
    <t>Электричество (14/7/365)</t>
  </si>
  <si>
    <t>1. Сравнительная таблица TCO на 3 года (для 100 магазинов)</t>
  </si>
  <si>
    <t>Сценарий</t>
  </si>
  <si>
    <t>Год 1 (с учетом CapEx)</t>
  </si>
  <si>
    <t>Год 2 (чистый OpEx)</t>
  </si>
  <si>
    <t>Год 3 (чистый OpEx)</t>
  </si>
  <si>
    <t>ИТОГО за 3 года:</t>
  </si>
  <si>
    <t>AS-IS (Текущий)</t>
  </si>
  <si>
    <t>TO-BE (Облачный)</t>
  </si>
  <si>
    <t>Чистая экономия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</si>
</sst>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164" fontId="2" fillId="0" borderId="1" xfId="1" applyNumberFormat="1" applyFon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3" fontId="0" fillId="0" borderId="0" xfId="0" applyNumberFormat="1"/>
    <xf numFmtId="0" fontId="0" fillId="0" borderId="0" xfId="0" applyFont="1"/>
    <xf numFmtId="0" fontId="4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15" sqref="F15"/>
    </sheetView>
  </sheetViews>
  <sheetFormatPr defaultRowHeight="15" x14ac:dyDescent="0.25"/>
  <cols>
    <col min="1" max="1" width="48" bestFit="1" customWidth="1"/>
    <col min="2" max="2" width="8.140625" bestFit="1" customWidth="1"/>
    <col min="3" max="3" width="20.42578125" customWidth="1"/>
    <col min="4" max="4" width="16.42578125" customWidth="1"/>
    <col min="5" max="5" width="14.5703125" bestFit="1" customWidth="1"/>
  </cols>
  <sheetData>
    <row r="1" spans="1:5" ht="18.75" x14ac:dyDescent="0.3">
      <c r="A1" s="11" t="s">
        <v>0</v>
      </c>
    </row>
    <row r="2" spans="1:5" x14ac:dyDescent="0.25">
      <c r="A2" s="8" t="s">
        <v>16</v>
      </c>
    </row>
    <row r="3" spans="1:5" x14ac:dyDescent="0.25">
      <c r="A3" t="s">
        <v>17</v>
      </c>
      <c r="B3">
        <v>1</v>
      </c>
      <c r="C3" s="1">
        <v>50000</v>
      </c>
      <c r="D3">
        <v>100</v>
      </c>
      <c r="E3" s="17">
        <f>C3*D3</f>
        <v>5000000</v>
      </c>
    </row>
    <row r="4" spans="1:5" ht="30" x14ac:dyDescent="0.25">
      <c r="A4" s="8" t="s">
        <v>6</v>
      </c>
      <c r="B4" s="8" t="s">
        <v>4</v>
      </c>
      <c r="C4" s="9" t="s">
        <v>3</v>
      </c>
      <c r="D4" s="10" t="s">
        <v>5</v>
      </c>
      <c r="E4" s="8" t="s">
        <v>7</v>
      </c>
    </row>
    <row r="5" spans="1:5" x14ac:dyDescent="0.25">
      <c r="A5" s="5" t="s">
        <v>9</v>
      </c>
      <c r="B5" s="4">
        <v>1</v>
      </c>
      <c r="C5" s="6">
        <v>5000</v>
      </c>
      <c r="D5" s="5">
        <v>100</v>
      </c>
      <c r="E5" s="7">
        <f>D5*C5</f>
        <v>500000</v>
      </c>
    </row>
    <row r="6" spans="1:5" x14ac:dyDescent="0.25">
      <c r="A6" s="5" t="s">
        <v>1</v>
      </c>
      <c r="B6" s="4">
        <v>1</v>
      </c>
      <c r="C6" s="6">
        <v>20000</v>
      </c>
      <c r="D6" s="5">
        <v>100</v>
      </c>
      <c r="E6" s="7">
        <f t="shared" ref="E6:E9" si="0">D6*C6</f>
        <v>2000000</v>
      </c>
    </row>
    <row r="7" spans="1:5" x14ac:dyDescent="0.25">
      <c r="A7" s="5" t="s">
        <v>2</v>
      </c>
      <c r="B7" s="4">
        <v>1</v>
      </c>
      <c r="C7" s="6">
        <v>1200000</v>
      </c>
      <c r="D7" s="5">
        <v>15</v>
      </c>
      <c r="E7" s="7">
        <f t="shared" si="0"/>
        <v>18000000</v>
      </c>
    </row>
    <row r="8" spans="1:5" x14ac:dyDescent="0.25">
      <c r="A8" s="5" t="s">
        <v>15</v>
      </c>
      <c r="B8" s="4">
        <v>1</v>
      </c>
      <c r="C8" s="6">
        <v>36000</v>
      </c>
      <c r="D8" s="5">
        <v>100</v>
      </c>
      <c r="E8" s="7">
        <f t="shared" si="0"/>
        <v>3600000</v>
      </c>
    </row>
    <row r="9" spans="1:5" x14ac:dyDescent="0.25">
      <c r="A9" s="5" t="s">
        <v>18</v>
      </c>
      <c r="B9" s="4">
        <v>1</v>
      </c>
      <c r="C9" s="6">
        <v>19710</v>
      </c>
      <c r="D9" s="5">
        <v>100</v>
      </c>
      <c r="E9" s="7">
        <f t="shared" si="0"/>
        <v>1971000</v>
      </c>
    </row>
    <row r="10" spans="1:5" x14ac:dyDescent="0.25">
      <c r="A10" s="12" t="s">
        <v>11</v>
      </c>
      <c r="B10" s="12"/>
      <c r="C10" s="13"/>
      <c r="D10" s="12"/>
      <c r="E10" s="14">
        <f>SUM(E5:E9)</f>
        <v>26071000</v>
      </c>
    </row>
    <row r="11" spans="1:5" x14ac:dyDescent="0.25">
      <c r="C11" s="2"/>
    </row>
    <row r="12" spans="1:5" ht="18.75" x14ac:dyDescent="0.3">
      <c r="A12" s="11" t="s">
        <v>8</v>
      </c>
      <c r="C12" s="2"/>
    </row>
    <row r="13" spans="1:5" x14ac:dyDescent="0.25">
      <c r="A13" s="8" t="s">
        <v>16</v>
      </c>
      <c r="C13" s="2"/>
    </row>
    <row r="14" spans="1:5" x14ac:dyDescent="0.25">
      <c r="A14" t="s">
        <v>10</v>
      </c>
      <c r="B14">
        <v>1</v>
      </c>
      <c r="C14" s="2">
        <v>30000</v>
      </c>
      <c r="D14">
        <v>100</v>
      </c>
      <c r="E14" s="3">
        <f>C14*D14</f>
        <v>3000000</v>
      </c>
    </row>
    <row r="15" spans="1:5" ht="30" x14ac:dyDescent="0.25">
      <c r="A15" s="8" t="s">
        <v>6</v>
      </c>
      <c r="B15" s="8" t="s">
        <v>4</v>
      </c>
      <c r="C15" s="9" t="s">
        <v>3</v>
      </c>
      <c r="D15" s="10" t="s">
        <v>5</v>
      </c>
      <c r="E15" s="8" t="s">
        <v>7</v>
      </c>
    </row>
    <row r="16" spans="1:5" x14ac:dyDescent="0.25">
      <c r="A16" s="5" t="s">
        <v>12</v>
      </c>
      <c r="B16" s="15">
        <v>1</v>
      </c>
      <c r="C16" s="6">
        <v>18000</v>
      </c>
      <c r="D16" s="5">
        <v>100</v>
      </c>
      <c r="E16" s="7">
        <f>C16*D16</f>
        <v>1800000</v>
      </c>
    </row>
    <row r="17" spans="1:5" x14ac:dyDescent="0.25">
      <c r="A17" s="5" t="s">
        <v>13</v>
      </c>
      <c r="B17" s="15">
        <v>1</v>
      </c>
      <c r="C17" s="6">
        <v>30000</v>
      </c>
      <c r="D17" s="5">
        <v>100</v>
      </c>
      <c r="E17" s="7">
        <f t="shared" ref="E17:E20" si="1">C17*D17</f>
        <v>3000000</v>
      </c>
    </row>
    <row r="18" spans="1:5" x14ac:dyDescent="0.25">
      <c r="A18" s="5" t="s">
        <v>2</v>
      </c>
      <c r="B18" s="15">
        <v>1</v>
      </c>
      <c r="C18" s="6">
        <v>1200000</v>
      </c>
      <c r="D18" s="5">
        <v>5</v>
      </c>
      <c r="E18" s="7">
        <f t="shared" si="1"/>
        <v>6000000</v>
      </c>
    </row>
    <row r="19" spans="1:5" x14ac:dyDescent="0.25">
      <c r="A19" s="16" t="s">
        <v>14</v>
      </c>
      <c r="B19" s="15">
        <v>1</v>
      </c>
      <c r="C19" s="6">
        <v>48000</v>
      </c>
      <c r="D19" s="5">
        <v>100</v>
      </c>
      <c r="E19" s="7">
        <f t="shared" si="1"/>
        <v>4800000</v>
      </c>
    </row>
    <row r="20" spans="1:5" x14ac:dyDescent="0.25">
      <c r="A20" s="5" t="s">
        <v>19</v>
      </c>
      <c r="B20" s="4">
        <v>1</v>
      </c>
      <c r="C20" s="6">
        <v>690</v>
      </c>
      <c r="D20" s="16">
        <v>100</v>
      </c>
      <c r="E20" s="7">
        <f t="shared" si="1"/>
        <v>69000</v>
      </c>
    </row>
    <row r="21" spans="1:5" x14ac:dyDescent="0.25">
      <c r="A21" s="12" t="s">
        <v>11</v>
      </c>
      <c r="B21" s="12"/>
      <c r="C21" s="13"/>
      <c r="D21" s="12"/>
      <c r="E21" s="14">
        <f>SUM(E16:E20)</f>
        <v>15669000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26" sqref="F26"/>
    </sheetView>
  </sheetViews>
  <sheetFormatPr defaultRowHeight="15" x14ac:dyDescent="0.25"/>
  <cols>
    <col min="1" max="1" width="21.5703125" style="18" bestFit="1" customWidth="1"/>
    <col min="2" max="2" width="25.28515625" style="18" bestFit="1" customWidth="1"/>
    <col min="3" max="4" width="23" style="18" bestFit="1" customWidth="1"/>
    <col min="5" max="5" width="19.28515625" style="18" bestFit="1" customWidth="1"/>
    <col min="6" max="16384" width="9.140625" style="18"/>
  </cols>
  <sheetData>
    <row r="1" spans="1:5" ht="19.5" x14ac:dyDescent="0.25">
      <c r="A1" s="19" t="s">
        <v>20</v>
      </c>
      <c r="B1" s="19"/>
      <c r="C1" s="19"/>
      <c r="D1" s="19"/>
      <c r="E1" s="19"/>
    </row>
    <row r="2" spans="1:5" x14ac:dyDescent="0.25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</row>
    <row r="3" spans="1:5" x14ac:dyDescent="0.25">
      <c r="A3" s="20" t="s">
        <v>26</v>
      </c>
      <c r="B3" s="22">
        <f>'расчеты на год'!E10</f>
        <v>26071000</v>
      </c>
      <c r="C3" s="22">
        <f>B3</f>
        <v>26071000</v>
      </c>
      <c r="D3" s="22">
        <f>C3</f>
        <v>26071000</v>
      </c>
      <c r="E3" s="23">
        <f>SUM(B3:D3)</f>
        <v>78213000</v>
      </c>
    </row>
    <row r="4" spans="1:5" x14ac:dyDescent="0.25">
      <c r="A4" s="20" t="s">
        <v>27</v>
      </c>
      <c r="B4" s="22">
        <f>'расчеты на год'!E21+'расчеты на год'!E14</f>
        <v>18669000</v>
      </c>
      <c r="C4" s="22">
        <f>'расчеты на год'!E21</f>
        <v>15669000</v>
      </c>
      <c r="D4" s="22">
        <f>C4</f>
        <v>15669000</v>
      </c>
      <c r="E4" s="23">
        <f>SUM(B4:D4)</f>
        <v>50007000</v>
      </c>
    </row>
    <row r="5" spans="1:5" x14ac:dyDescent="0.25">
      <c r="A5" s="21" t="s">
        <v>28</v>
      </c>
      <c r="B5" s="23">
        <f>B3-B4</f>
        <v>7402000</v>
      </c>
      <c r="C5" s="23">
        <f t="shared" ref="C5:D5" si="0">C3-C4</f>
        <v>10402000</v>
      </c>
      <c r="D5" s="23">
        <f t="shared" si="0"/>
        <v>10402000</v>
      </c>
      <c r="E5" s="23">
        <f>E3-E4</f>
        <v>28206000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расчеты на год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2026-07-02T08:18:16Z</dcterms:modified>
</cp:coreProperties>
</file>